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HLTF\"/>
    </mc:Choice>
  </mc:AlternateContent>
  <xr:revisionPtr revIDLastSave="0" documentId="13_ncr:1_{6FB2F52D-2F24-44D5-BB0D-0CFA4890F99D}" xr6:coauthVersionLast="47" xr6:coauthVersionMax="47" xr10:uidLastSave="{00000000-0000-0000-0000-000000000000}"/>
  <bookViews>
    <workbookView xWindow="-108" yWindow="-108" windowWidth="23256" windowHeight="12456" firstSheet="1" activeTab="1" xr2:uid="{3DA7227E-DC70-44E7-84B8-521F691505F1}"/>
  </bookViews>
  <sheets>
    <sheet name="Jumlah Populasi" sheetId="2" r:id="rId1"/>
    <sheet name="Parameter RL Tahun 2024" sheetId="6" r:id="rId2"/>
    <sheet name="Tingkat Kemiskinan Indonesia " sheetId="5" r:id="rId3"/>
    <sheet name="Indeks Kemiskinan" sheetId="3" r:id="rId4"/>
    <sheet name="Pengumpulan" sheetId="7" r:id="rId5"/>
    <sheet name="Realisasi" sheetId="9" r:id="rId6"/>
    <sheet name="Sheet4" sheetId="10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6" l="1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D26" i="6" s="1"/>
  <c r="E26" i="6" s="1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D18" i="6" s="1"/>
  <c r="E18" i="6" s="1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D10" i="6" s="1"/>
  <c r="E10" i="6" s="1"/>
  <c r="B10" i="6"/>
  <c r="C9" i="6"/>
  <c r="B9" i="6"/>
  <c r="C8" i="6"/>
  <c r="B8" i="6"/>
  <c r="C7" i="6"/>
  <c r="B7" i="6"/>
  <c r="C6" i="6"/>
  <c r="C34" i="6" s="1"/>
  <c r="B6" i="6"/>
  <c r="C5" i="6"/>
  <c r="B5" i="6"/>
  <c r="C4" i="6"/>
  <c r="B4" i="6"/>
  <c r="D29" i="6" l="1"/>
  <c r="E29" i="6" s="1"/>
  <c r="D25" i="6"/>
  <c r="E25" i="6" s="1"/>
  <c r="D21" i="6"/>
  <c r="E21" i="6" s="1"/>
  <c r="D17" i="6"/>
  <c r="E17" i="6" s="1"/>
  <c r="D13" i="6"/>
  <c r="E13" i="6" s="1"/>
  <c r="D9" i="6"/>
  <c r="E9" i="6" s="1"/>
  <c r="D5" i="6"/>
  <c r="E5" i="6" s="1"/>
  <c r="D28" i="6"/>
  <c r="E28" i="6" s="1"/>
  <c r="D24" i="6"/>
  <c r="E24" i="6" s="1"/>
  <c r="D20" i="6"/>
  <c r="E20" i="6" s="1"/>
  <c r="D16" i="6"/>
  <c r="E16" i="6" s="1"/>
  <c r="D12" i="6"/>
  <c r="E12" i="6" s="1"/>
  <c r="D8" i="6"/>
  <c r="E8" i="6" s="1"/>
  <c r="D4" i="6"/>
  <c r="D27" i="6"/>
  <c r="E27" i="6" s="1"/>
  <c r="D23" i="6"/>
  <c r="E23" i="6" s="1"/>
  <c r="D19" i="6"/>
  <c r="E19" i="6" s="1"/>
  <c r="D15" i="6"/>
  <c r="E15" i="6" s="1"/>
  <c r="D11" i="6"/>
  <c r="E11" i="6" s="1"/>
  <c r="D7" i="6"/>
  <c r="E7" i="6" s="1"/>
  <c r="D33" i="6"/>
  <c r="E33" i="6" s="1"/>
  <c r="D32" i="6"/>
  <c r="E32" i="6" s="1"/>
  <c r="D31" i="6"/>
  <c r="E31" i="6" s="1"/>
  <c r="D14" i="6"/>
  <c r="E14" i="6" s="1"/>
  <c r="D22" i="6"/>
  <c r="E22" i="6" s="1"/>
  <c r="D30" i="6"/>
  <c r="E30" i="6" s="1"/>
  <c r="D6" i="6"/>
  <c r="E6" i="6" s="1"/>
  <c r="D34" i="6" l="1"/>
  <c r="E4" i="6"/>
  <c r="G34" i="2" l="1"/>
  <c r="C34" i="2"/>
  <c r="D34" i="2"/>
  <c r="E34" i="2"/>
  <c r="F34" i="2"/>
  <c r="H34" i="2"/>
  <c r="I34" i="2"/>
  <c r="J34" i="2"/>
  <c r="K34" i="2"/>
</calcChain>
</file>

<file path=xl/sharedStrings.xml><?xml version="1.0" encoding="utf-8"?>
<sst xmlns="http://schemas.openxmlformats.org/spreadsheetml/2006/main" count="53" uniqueCount="45">
  <si>
    <t>Kecamatan</t>
  </si>
  <si>
    <t>Penduduk</t>
  </si>
  <si>
    <t>Penduduk Miskin</t>
  </si>
  <si>
    <t>Arcamanik</t>
  </si>
  <si>
    <t>Antapani</t>
  </si>
  <si>
    <t>Bandung Kulon</t>
  </si>
  <si>
    <t>Babakan Ciparay</t>
  </si>
  <si>
    <t>Bojongloa Kaler</t>
  </si>
  <si>
    <t>Bojongloa Kidul</t>
  </si>
  <si>
    <t>Astanaanyar</t>
  </si>
  <si>
    <t>Regol</t>
  </si>
  <si>
    <t>Lengkong</t>
  </si>
  <si>
    <t>Bandung Kidul</t>
  </si>
  <si>
    <t>Buahbatu</t>
  </si>
  <si>
    <t>Rancasari</t>
  </si>
  <si>
    <t>Gedebage</t>
  </si>
  <si>
    <t>Cibiru</t>
  </si>
  <si>
    <t xml:space="preserve">Panyileukan </t>
  </si>
  <si>
    <t>Ujung Berung</t>
  </si>
  <si>
    <t>Cinambo</t>
  </si>
  <si>
    <t>Mandalajati</t>
  </si>
  <si>
    <t>Kiaracondong</t>
  </si>
  <si>
    <t>Batununggal</t>
  </si>
  <si>
    <t xml:space="preserve">Sumur Bandung </t>
  </si>
  <si>
    <t>Andir</t>
  </si>
  <si>
    <t>Cicendo</t>
  </si>
  <si>
    <t>Bandung Wetan</t>
  </si>
  <si>
    <t>Cibeunying Kidul</t>
  </si>
  <si>
    <t>Cibeunying Kaler</t>
  </si>
  <si>
    <t>Coblong</t>
  </si>
  <si>
    <t>Sukajadi</t>
  </si>
  <si>
    <t>Sukasari</t>
  </si>
  <si>
    <t>Cidadap</t>
  </si>
  <si>
    <t>Kota Bandung</t>
  </si>
  <si>
    <t>Tahun</t>
  </si>
  <si>
    <t>Jumlah Kemiskinan</t>
  </si>
  <si>
    <t>Proporsi</t>
  </si>
  <si>
    <t>Pengumpulan</t>
  </si>
  <si>
    <t>Penyaluran</t>
  </si>
  <si>
    <t>Pengumpulan (Rp Juta)</t>
  </si>
  <si>
    <t>Penyaluran (Rp)</t>
  </si>
  <si>
    <t>Target</t>
  </si>
  <si>
    <t>Jawa Barat</t>
  </si>
  <si>
    <t xml:space="preserve"> </t>
  </si>
  <si>
    <t>Rata-rata Kebutuhan Mustahik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</si>
</sst>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1" fontId="2" fillId="0" borderId="0" xfId="0" applyNumberFormat="1" applyFont="1"/>
    <xf numFmtId="1" fontId="1" fillId="0" borderId="1" xfId="0" applyNumberFormat="1" applyFont="1" applyBorder="1"/>
    <xf numFmtId="3" fontId="1" fillId="0" borderId="1" xfId="0" applyNumberFormat="1" applyFont="1" applyBorder="1"/>
    <xf numFmtId="3" fontId="2" fillId="0" borderId="1" xfId="0" applyNumberFormat="1" applyFont="1" applyBorder="1"/>
    <xf numFmtId="4" fontId="2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164" fontId="2" fillId="0" borderId="1" xfId="0" applyNumberFormat="1" applyFont="1" applyBorder="1"/>
    <xf numFmtId="164" fontId="1" fillId="0" borderId="1" xfId="0" applyNumberFormat="1" applyFont="1" applyBorder="1"/>
    <xf numFmtId="0" fontId="3" fillId="0" borderId="0" xfId="0" applyFont="1"/>
    <xf numFmtId="164" fontId="4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 PENDUDUK KOTA BANDUNG</a:t>
            </a:r>
          </a:p>
        </c:rich>
      </c:tx>
      <c:layout>
        <c:manualLayout>
          <c:xMode val="edge"/>
          <c:yMode val="edge"/>
          <c:x val="0.1452290026246719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'Jumlah Populasi'!$C$3:$K$3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9"/>
              <c:pt idx="0">
                <c:v>2018</c:v>
              </c:pt>
              <c:pt idx="1">
                <c:v>2019</c:v>
              </c:pt>
              <c:pt idx="2">
                <c:v>2020</c:v>
              </c:pt>
              <c:pt idx="3">
                <c:v>2021</c:v>
              </c:pt>
              <c:pt idx="4">
                <c:v>2022</c:v>
              </c:pt>
              <c:pt idx="5">
                <c:v>2023</c:v>
              </c:pt>
              <c:pt idx="6">
                <c:v>2024</c:v>
              </c:pt>
              <c:pt idx="7">
                <c:v>2025</c:v>
              </c:pt>
              <c:pt idx="8">
                <c:v>2026</c:v>
              </c:pt>
            </c:numLit>
          </c:cat>
          <c:val>
            <c:numRef>
              <c:f>'Jumlah Populasi'!$C$34:$K$34</c:f>
              <c:numCache>
                <c:formatCode>#,##0</c:formatCode>
                <c:ptCount val="9"/>
                <c:pt idx="0">
                  <c:v>2452179</c:v>
                </c:pt>
                <c:pt idx="1">
                  <c:v>2480464</c:v>
                </c:pt>
                <c:pt idx="2">
                  <c:v>2444160</c:v>
                </c:pt>
                <c:pt idx="3">
                  <c:v>2526476</c:v>
                </c:pt>
                <c:pt idx="4">
                  <c:v>2530088</c:v>
                </c:pt>
                <c:pt idx="5">
                  <c:v>2506573</c:v>
                </c:pt>
                <c:pt idx="6">
                  <c:v>2528163</c:v>
                </c:pt>
                <c:pt idx="7">
                  <c:v>2548784</c:v>
                </c:pt>
                <c:pt idx="8">
                  <c:v>2569102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831-4010-A937-4788928719F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486424944"/>
        <c:axId val="1486423024"/>
      </c:lineChart>
      <c:catAx>
        <c:axId val="148642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423024"/>
        <c:crosses val="autoZero"/>
        <c:auto val="1"/>
        <c:lblAlgn val="ctr"/>
        <c:lblOffset val="100"/>
        <c:noMultiLvlLbl val="0"/>
      </c:catAx>
      <c:valAx>
        <c:axId val="148642302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8642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 dan Persentase penduduk miskin kota bandung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'Indeks Kemiskinan'!$C$3:$C$15</c:f>
              <c:strCach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3"/>
              <c:pt idx="0">
                <c:v>2013</c:v>
              </c:pt>
              <c:pt idx="1">
                <c:v>2014</c:v>
              </c:pt>
              <c:pt idx="2">
                <c:v>2015</c:v>
              </c:pt>
              <c:pt idx="3">
                <c:v>2016</c:v>
              </c:pt>
              <c:pt idx="4">
                <c:v>2017</c:v>
              </c:pt>
              <c:pt idx="5">
                <c:v>2018</c:v>
              </c:pt>
              <c:pt idx="6">
                <c:v>2019</c:v>
              </c:pt>
              <c:pt idx="7">
                <c:v>2020</c:v>
              </c:pt>
              <c:pt idx="8">
                <c:v>2021</c:v>
              </c:pt>
              <c:pt idx="9">
                <c:v>2022</c:v>
              </c:pt>
              <c:pt idx="10">
                <c:v>2023</c:v>
              </c:pt>
              <c:pt idx="11">
                <c:v>2024</c:v>
              </c:pt>
              <c:pt idx="12">
                <c:v>2025</c:v>
              </c:pt>
            </c:numLit>
          </c:cat>
          <c:val>
            <c:numRef>
              <c:f>'Indeks Kemiskinan'!$D$3:$D$15</c:f>
              <c:numCache>
                <c:formatCode>#,##0.00</c:formatCode>
                <c:ptCount val="13"/>
                <c:pt idx="0">
                  <c:v>117.11</c:v>
                </c:pt>
                <c:pt idx="1">
                  <c:v>115</c:v>
                </c:pt>
                <c:pt idx="2">
                  <c:v>114.12</c:v>
                </c:pt>
                <c:pt idx="3">
                  <c:v>107.58</c:v>
                </c:pt>
                <c:pt idx="4">
                  <c:v>103.98</c:v>
                </c:pt>
                <c:pt idx="5">
                  <c:v>89.38</c:v>
                </c:pt>
                <c:pt idx="6">
                  <c:v>84.67</c:v>
                </c:pt>
                <c:pt idx="7">
                  <c:v>100.02</c:v>
                </c:pt>
                <c:pt idx="8">
                  <c:v>112.5</c:v>
                </c:pt>
                <c:pt idx="9">
                  <c:v>109.82</c:v>
                </c:pt>
                <c:pt idx="10">
                  <c:v>102.8</c:v>
                </c:pt>
                <c:pt idx="11">
                  <c:v>101.1</c:v>
                </c:pt>
                <c:pt idx="12">
                  <c:v>99.12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D-4380-AD9F-06D1737965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975509568"/>
        <c:axId val="975493248"/>
      </c:lineChart>
      <c:catAx>
        <c:axId val="97550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493248"/>
        <c:crosses val="autoZero"/>
        <c:auto val="1"/>
        <c:lblAlgn val="ctr"/>
        <c:lblOffset val="100"/>
        <c:noMultiLvlLbl val="0"/>
      </c:catAx>
      <c:valAx>
        <c:axId val="975493248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97550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Pengumpulan VS Penyaluran Dana BAZNAS Kota Bandung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Pengumpulan!$C$3</c:f>
              <c:strCache>
                <c:ptCount val="1"/>
                <c:pt idx="0">
                  <c:v>Pengumpulan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Pengumpulan!$B$4:$B$9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Pengumpulan!$C$4:$C$9</c:f>
              <c:numCache>
                <c:formatCode>"Rp"#,##0.00</c:formatCode>
                <c:ptCount val="6"/>
                <c:pt idx="0">
                  <c:v>26266623894</c:v>
                </c:pt>
                <c:pt idx="1">
                  <c:v>23896828346</c:v>
                </c:pt>
                <c:pt idx="2">
                  <c:v>21492941583</c:v>
                </c:pt>
                <c:pt idx="3">
                  <c:v>24132262082</c:v>
                </c:pt>
                <c:pt idx="4">
                  <c:v>22396087820</c:v>
                </c:pt>
                <c:pt idx="5">
                  <c:v>26092940784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62-4F6A-AD99-1C29200757C3}"/>
            </c:ext>
          </c:extLst>
        </c:ser>
        <c:ser>
          <c:idx val="1"/>
          <c:order val="1"/>
          <c:tx>
            <c:strRef>
              <c:f>Pengumpulan!$D$3</c:f>
              <c:strCache>
                <c:ptCount val="1"/>
                <c:pt idx="0">
                  <c:v>Penyaluran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Pengumpulan!$B$4:$B$9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Pengumpulan!$D$4:$D$9</c:f>
              <c:numCache>
                <c:formatCode>"Rp"#,##0.00</c:formatCode>
                <c:ptCount val="6"/>
                <c:pt idx="0">
                  <c:v>23845930075</c:v>
                </c:pt>
                <c:pt idx="1">
                  <c:v>22822334528</c:v>
                </c:pt>
                <c:pt idx="2">
                  <c:v>24291607699</c:v>
                </c:pt>
                <c:pt idx="3">
                  <c:v>22260571614</c:v>
                </c:pt>
                <c:pt idx="4">
                  <c:v>23070537555</c:v>
                </c:pt>
                <c:pt idx="5">
                  <c:v>26747025974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62-4F6A-AD99-1C2920075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603039"/>
        <c:axId val="536625119"/>
      </c:barChart>
      <c:catAx>
        <c:axId val="53660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625119"/>
        <c:crosses val="autoZero"/>
        <c:auto val="1"/>
        <c:lblAlgn val="ctr"/>
        <c:lblOffset val="100"/>
        <c:noMultiLvlLbl val="0"/>
      </c:catAx>
      <c:valAx>
        <c:axId val="536625119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6030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Realisasi</a:t>
            </a:r>
            <a:r>
              <a:rPr lang="en-ID" baseline="0"/>
              <a:t> VS Target Pengumpulan BAZNAS Jawa Barat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Realisasi!$C$3</c:f>
              <c:strCache>
                <c:ptCount val="1"/>
                <c:pt idx="0">
                  <c:v>Pengumpulan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Realisasi!$B$4:$B$7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Realisasi!$C$4:$C$7</c:f>
              <c:numCache>
                <c:formatCode>"Rp"#,##0.00</c:formatCode>
                <c:ptCount val="4"/>
                <c:pt idx="0">
                  <c:v>38437434957</c:v>
                </c:pt>
                <c:pt idx="1">
                  <c:v>48711670390</c:v>
                </c:pt>
                <c:pt idx="2">
                  <c:v>50343163277</c:v>
                </c:pt>
                <c:pt idx="3">
                  <c:v>53486147404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BA-4AAF-810F-BC74FC165B99}"/>
            </c:ext>
          </c:extLst>
        </c:ser>
        <c:ser>
          <c:idx val="2"/>
          <c:order val="1"/>
          <c:tx>
            <c:strRef>
              <c:f>Realisasi!$D$3</c:f>
              <c:strCache>
                <c:ptCount val="1"/>
                <c:pt idx="0">
                  <c:v>Target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Realisasi!$B$4:$B$7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Realisasi!$D$4:$D$7</c:f>
              <c:numCache>
                <c:formatCode>"Rp"#,##0.00</c:formatCode>
                <c:ptCount val="4"/>
                <c:pt idx="0">
                  <c:v>41247500000</c:v>
                </c:pt>
                <c:pt idx="1">
                  <c:v>46500000000</c:v>
                </c:pt>
                <c:pt idx="2">
                  <c:v>65015750000</c:v>
                </c:pt>
                <c:pt idx="3">
                  <c:v>65000000000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BA-4AAF-810F-BC74FC165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628959"/>
        <c:axId val="536626559"/>
      </c:barChart>
      <c:catAx>
        <c:axId val="53662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626559"/>
        <c:crosses val="autoZero"/>
        <c:auto val="1"/>
        <c:lblAlgn val="ctr"/>
        <c:lblOffset val="100"/>
        <c:noMultiLvlLbl val="0"/>
      </c:catAx>
      <c:valAx>
        <c:axId val="536626559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  <a:effectLst/>
          </c:spPr>
        </c:majorGridlines>
        <c:numFmt formatCode="&quot;Rp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6289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188177</xdr:colOff>
      <xdr:row>3</xdr:row>
      <xdr:rowOff>131802</xdr:rowOff>
    </xdr:from>
    <xdr:to>
      <xdr:col>22</xdr:col>
      <xdr:colOff>160258</xdr:colOff>
      <xdr:row>18</xdr:row>
      <xdr:rowOff>141742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659776-52CB-D87B-75DC-3CD4BC89A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4</xdr:row>
      <xdr:rowOff>49530</xdr:rowOff>
    </xdr:from>
    <xdr:to>
      <xdr:col>17</xdr:col>
      <xdr:colOff>243840</xdr:colOff>
      <xdr:row>20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798763-D6D4-783E-21C2-0C6466A0F6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563880</xdr:colOff>
      <xdr:row>2</xdr:row>
      <xdr:rowOff>121920</xdr:rowOff>
    </xdr:from>
    <xdr:to>
      <xdr:col>13</xdr:col>
      <xdr:colOff>396240</xdr:colOff>
      <xdr:row>23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7D256F-A283-A614-A713-ED7759F79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496958</xdr:colOff>
      <xdr:row>3</xdr:row>
      <xdr:rowOff>0</xdr:rowOff>
    </xdr:from>
    <xdr:to>
      <xdr:col>13</xdr:col>
      <xdr:colOff>46383</xdr:colOff>
      <xdr:row>17</xdr:row>
      <xdr:rowOff>145773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365114-7A1D-9EC9-2C48-2054AA859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ebryo%20Fibonacci%20A\Downloads\Data%20BPS%20Kota%20Bandung.xlsx" TargetMode="External"/><Relationship Id="rId1" Type="http://schemas.openxmlformats.org/officeDocument/2006/relationships/externalLinkPath" Target="file:///C:\Users\Febryo%20Fibonacci%20A\Downloads\Data%20BPS%20Kota%20Bandu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mlah Populasi"/>
      <sheetName val="Parameter RL Tahun 2024"/>
      <sheetName val="Tingkat Kemiskinan Indonesia "/>
      <sheetName val="Indeks Kemiskinan"/>
      <sheetName val="Pengumpulan"/>
      <sheetName val="Realisasi"/>
      <sheetName val="log_baseline_baznas"/>
      <sheetName val="log_baseline_ppo"/>
      <sheetName val="log_hltf"/>
    </sheetNames>
    <sheetDataSet>
      <sheetData sheetId="0">
        <row r="4">
          <cell r="B4" t="str">
            <v>Bandung Kulon</v>
          </cell>
          <cell r="I4">
            <v>141347</v>
          </cell>
        </row>
        <row r="5">
          <cell r="B5" t="str">
            <v>Babakan Ciparay</v>
          </cell>
          <cell r="I5">
            <v>144970</v>
          </cell>
        </row>
        <row r="6">
          <cell r="B6" t="str">
            <v>Bojongloa Kaler</v>
          </cell>
          <cell r="I6">
            <v>122099</v>
          </cell>
        </row>
        <row r="7">
          <cell r="B7" t="str">
            <v>Bojongloa Kidul</v>
          </cell>
          <cell r="I7">
            <v>89551</v>
          </cell>
        </row>
        <row r="8">
          <cell r="B8" t="str">
            <v>Astanaanyar</v>
          </cell>
          <cell r="I8">
            <v>70193</v>
          </cell>
        </row>
        <row r="9">
          <cell r="B9" t="str">
            <v>Regol</v>
          </cell>
          <cell r="I9">
            <v>80543</v>
          </cell>
        </row>
        <row r="10">
          <cell r="B10" t="str">
            <v>Lengkong</v>
          </cell>
          <cell r="I10">
            <v>67408</v>
          </cell>
        </row>
        <row r="11">
          <cell r="B11" t="str">
            <v>Bandung Kidul</v>
          </cell>
          <cell r="I11">
            <v>62100</v>
          </cell>
        </row>
        <row r="12">
          <cell r="B12" t="str">
            <v>Buahbatu</v>
          </cell>
          <cell r="I12">
            <v>105592</v>
          </cell>
        </row>
        <row r="13">
          <cell r="B13" t="str">
            <v>Rancasari</v>
          </cell>
          <cell r="I13">
            <v>90037</v>
          </cell>
        </row>
        <row r="14">
          <cell r="B14" t="str">
            <v>Gedebage</v>
          </cell>
          <cell r="I14">
            <v>45704</v>
          </cell>
        </row>
        <row r="15">
          <cell r="B15" t="str">
            <v>Cibiru</v>
          </cell>
          <cell r="I15">
            <v>75302</v>
          </cell>
        </row>
        <row r="16">
          <cell r="B16" t="str">
            <v xml:space="preserve">Panyileukan </v>
          </cell>
          <cell r="I16">
            <v>41503</v>
          </cell>
        </row>
        <row r="17">
          <cell r="B17" t="str">
            <v>Ujung Berung</v>
          </cell>
          <cell r="I17">
            <v>96125</v>
          </cell>
        </row>
        <row r="18">
          <cell r="B18" t="str">
            <v>Cinambo</v>
          </cell>
          <cell r="I18">
            <v>26474</v>
          </cell>
        </row>
        <row r="19">
          <cell r="B19" t="str">
            <v>Arcamanik</v>
          </cell>
          <cell r="I19">
            <v>83701</v>
          </cell>
        </row>
        <row r="20">
          <cell r="B20" t="str">
            <v>Antapani</v>
          </cell>
          <cell r="I20">
            <v>83722</v>
          </cell>
        </row>
        <row r="21">
          <cell r="B21" t="str">
            <v>Mandalajati</v>
          </cell>
          <cell r="I21">
            <v>77354</v>
          </cell>
        </row>
        <row r="22">
          <cell r="B22" t="str">
            <v>Kiaracondong</v>
          </cell>
          <cell r="I22">
            <v>128908</v>
          </cell>
        </row>
        <row r="23">
          <cell r="B23" t="str">
            <v>Batununggal</v>
          </cell>
          <cell r="I23">
            <v>117554</v>
          </cell>
        </row>
        <row r="24">
          <cell r="B24" t="str">
            <v xml:space="preserve">Sumur Bandung </v>
          </cell>
          <cell r="I24">
            <v>34744</v>
          </cell>
        </row>
        <row r="25">
          <cell r="B25" t="str">
            <v>Andir</v>
          </cell>
          <cell r="I25">
            <v>98732</v>
          </cell>
        </row>
        <row r="26">
          <cell r="B26" t="str">
            <v>Cicendo</v>
          </cell>
          <cell r="I26">
            <v>93968</v>
          </cell>
        </row>
        <row r="27">
          <cell r="B27" t="str">
            <v>Bandung Wetan</v>
          </cell>
          <cell r="I27">
            <v>27331</v>
          </cell>
        </row>
        <row r="28">
          <cell r="B28" t="str">
            <v>Cibeunying Kidul</v>
          </cell>
          <cell r="I28">
            <v>110427</v>
          </cell>
        </row>
        <row r="29">
          <cell r="B29" t="str">
            <v>Cibeunying Kaler</v>
          </cell>
          <cell r="I29">
            <v>68297</v>
          </cell>
        </row>
        <row r="30">
          <cell r="B30" t="str">
            <v>Coblong</v>
          </cell>
          <cell r="I30">
            <v>112164</v>
          </cell>
        </row>
        <row r="31">
          <cell r="B31" t="str">
            <v>Sukajadi</v>
          </cell>
          <cell r="I31">
            <v>102457</v>
          </cell>
        </row>
        <row r="32">
          <cell r="B32" t="str">
            <v>Sukasari</v>
          </cell>
          <cell r="I32">
            <v>76217</v>
          </cell>
        </row>
        <row r="33">
          <cell r="B33" t="str">
            <v>Cidadap</v>
          </cell>
          <cell r="I33">
            <v>53639</v>
          </cell>
        </row>
        <row r="34">
          <cell r="B34" t="str">
            <v>Kota Bandung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F166-2DA8-40BD-AC69-18A9F09B3688}">
  <dimension ref="B3:K34"/>
  <sheetViews>
    <sheetView topLeftCell="A5" zoomScale="79" zoomScaleNormal="115" workbookViewId="0">
      <selection activeCell="I4" sqref="I4:I33"/>
    </sheetView>
  </sheetViews>
  <sheetFormatPr defaultRowHeight="15.6" x14ac:dyDescent="0.3"/>
  <cols>
    <col min="1" max="1" width="10.109375" style="2" bestFit="1" customWidth="1"/>
    <col min="2" max="2" width="17" style="2" bestFit="1" customWidth="1"/>
    <col min="3" max="9" width="10.109375" style="2" bestFit="1" customWidth="1"/>
    <col min="10" max="10" width="10.109375" style="4" bestFit="1" customWidth="1"/>
    <col min="11" max="11" width="10.109375" style="2" bestFit="1" customWidth="1"/>
    <col min="12" max="16384" width="8.88671875" style="2"/>
  </cols>
  <sheetData>
    <row r="3" spans="2:11" x14ac:dyDescent="0.3">
      <c r="B3" s="1" t="s">
        <v>0</v>
      </c>
      <c r="C3" s="1">
        <v>2018</v>
      </c>
      <c r="D3" s="1">
        <v>2019</v>
      </c>
      <c r="E3" s="1">
        <v>2020</v>
      </c>
      <c r="F3" s="1">
        <v>2021</v>
      </c>
      <c r="G3" s="1">
        <v>2022</v>
      </c>
      <c r="H3" s="1">
        <v>2023</v>
      </c>
      <c r="I3" s="1">
        <v>2024</v>
      </c>
      <c r="J3" s="5">
        <v>2025</v>
      </c>
      <c r="K3" s="1">
        <v>2026</v>
      </c>
    </row>
    <row r="4" spans="2:11" x14ac:dyDescent="0.3">
      <c r="B4" s="3" t="s">
        <v>5</v>
      </c>
      <c r="C4" s="7">
        <v>131842</v>
      </c>
      <c r="D4" s="7">
        <v>132811</v>
      </c>
      <c r="E4" s="7">
        <v>138810</v>
      </c>
      <c r="F4" s="7">
        <v>136607</v>
      </c>
      <c r="G4" s="7">
        <v>136622</v>
      </c>
      <c r="H4" s="7">
        <v>140700</v>
      </c>
      <c r="I4" s="7">
        <v>141347</v>
      </c>
      <c r="J4" s="7">
        <v>141929</v>
      </c>
      <c r="K4" s="7">
        <v>142755</v>
      </c>
    </row>
    <row r="5" spans="2:11" x14ac:dyDescent="0.3">
      <c r="B5" s="3" t="s">
        <v>6</v>
      </c>
      <c r="C5" s="7">
        <v>137077</v>
      </c>
      <c r="D5" s="7">
        <v>138788</v>
      </c>
      <c r="E5" s="7">
        <v>142440</v>
      </c>
      <c r="F5" s="7">
        <v>142528</v>
      </c>
      <c r="G5" s="7">
        <v>143651</v>
      </c>
      <c r="H5" s="7">
        <v>144327</v>
      </c>
      <c r="I5" s="7">
        <v>144970</v>
      </c>
      <c r="J5" s="7">
        <v>145552</v>
      </c>
      <c r="K5" s="7">
        <v>146483</v>
      </c>
    </row>
    <row r="6" spans="2:11" x14ac:dyDescent="0.3">
      <c r="B6" s="3" t="s">
        <v>7</v>
      </c>
      <c r="C6" s="7">
        <v>122927</v>
      </c>
      <c r="D6" s="7">
        <v>123467</v>
      </c>
      <c r="E6" s="7">
        <v>119190</v>
      </c>
      <c r="F6" s="7">
        <v>124506</v>
      </c>
      <c r="G6" s="7">
        <v>124323</v>
      </c>
      <c r="H6" s="7">
        <v>121358</v>
      </c>
      <c r="I6" s="7">
        <v>122099</v>
      </c>
      <c r="J6" s="7">
        <v>122786</v>
      </c>
      <c r="K6" s="7">
        <v>123500</v>
      </c>
    </row>
    <row r="7" spans="2:11" x14ac:dyDescent="0.3">
      <c r="B7" s="3" t="s">
        <v>8</v>
      </c>
      <c r="C7" s="7">
        <v>84836</v>
      </c>
      <c r="D7" s="7">
        <v>85639</v>
      </c>
      <c r="E7" s="7">
        <v>86740</v>
      </c>
      <c r="F7" s="7">
        <v>87916</v>
      </c>
      <c r="G7" s="7">
        <v>87988</v>
      </c>
      <c r="H7" s="7">
        <v>88834</v>
      </c>
      <c r="I7" s="7">
        <v>89551</v>
      </c>
      <c r="J7" s="7">
        <v>90230</v>
      </c>
      <c r="K7" s="7">
        <v>90755</v>
      </c>
    </row>
    <row r="8" spans="2:11" x14ac:dyDescent="0.3">
      <c r="B8" s="3" t="s">
        <v>9</v>
      </c>
      <c r="C8" s="7">
        <v>73696</v>
      </c>
      <c r="D8" s="7">
        <v>74078</v>
      </c>
      <c r="E8" s="7">
        <v>68320</v>
      </c>
      <c r="F8" s="7">
        <v>73614</v>
      </c>
      <c r="G8" s="7">
        <v>73232</v>
      </c>
      <c r="H8" s="7">
        <v>69714</v>
      </c>
      <c r="I8" s="7">
        <v>70193</v>
      </c>
      <c r="J8" s="7">
        <v>70642</v>
      </c>
      <c r="K8" s="7">
        <v>71053</v>
      </c>
    </row>
    <row r="9" spans="2:11" x14ac:dyDescent="0.3">
      <c r="B9" s="3" t="s">
        <v>10</v>
      </c>
      <c r="C9" s="7">
        <v>79470</v>
      </c>
      <c r="D9" s="7">
        <v>80141</v>
      </c>
      <c r="E9" s="7">
        <v>79140</v>
      </c>
      <c r="F9" s="7">
        <v>80808</v>
      </c>
      <c r="G9" s="7">
        <v>80609</v>
      </c>
      <c r="H9" s="7">
        <v>80183</v>
      </c>
      <c r="I9" s="7">
        <v>80543</v>
      </c>
      <c r="J9" s="7">
        <v>80865</v>
      </c>
      <c r="K9" s="7">
        <v>81995</v>
      </c>
    </row>
    <row r="10" spans="2:11" x14ac:dyDescent="0.3">
      <c r="B10" s="3" t="s">
        <v>11</v>
      </c>
      <c r="C10" s="7">
        <v>70504</v>
      </c>
      <c r="D10" s="7">
        <v>71295</v>
      </c>
      <c r="E10" s="7">
        <v>66230</v>
      </c>
      <c r="F10" s="7">
        <v>71261</v>
      </c>
      <c r="G10" s="7">
        <v>71000</v>
      </c>
      <c r="H10" s="7">
        <v>67108</v>
      </c>
      <c r="I10" s="7">
        <v>67408</v>
      </c>
      <c r="J10" s="7">
        <v>67678</v>
      </c>
      <c r="K10" s="7">
        <v>68624</v>
      </c>
    </row>
    <row r="11" spans="2:11" x14ac:dyDescent="0.3">
      <c r="B11" s="3" t="s">
        <v>12</v>
      </c>
      <c r="C11" s="7">
        <v>58967</v>
      </c>
      <c r="D11" s="7">
        <v>59698</v>
      </c>
      <c r="E11" s="7">
        <v>59980</v>
      </c>
      <c r="F11" s="7">
        <v>61250</v>
      </c>
      <c r="G11" s="7">
        <v>61419</v>
      </c>
      <c r="H11" s="7">
        <v>61560</v>
      </c>
      <c r="I11" s="7">
        <v>62100</v>
      </c>
      <c r="J11" s="7">
        <v>62615</v>
      </c>
      <c r="K11" s="7">
        <v>62980</v>
      </c>
    </row>
    <row r="12" spans="2:11" x14ac:dyDescent="0.3">
      <c r="B12" s="3" t="s">
        <v>13</v>
      </c>
      <c r="C12" s="7">
        <v>99461</v>
      </c>
      <c r="D12" s="7">
        <v>101022</v>
      </c>
      <c r="E12" s="7">
        <v>100370</v>
      </c>
      <c r="F12" s="7">
        <v>104102</v>
      </c>
      <c r="G12" s="7">
        <v>104434</v>
      </c>
      <c r="H12" s="7">
        <v>104225</v>
      </c>
      <c r="I12" s="7">
        <v>105592</v>
      </c>
      <c r="J12" s="7">
        <v>106896</v>
      </c>
      <c r="K12" s="7">
        <v>107518</v>
      </c>
    </row>
    <row r="13" spans="2:11" x14ac:dyDescent="0.3">
      <c r="B13" s="3" t="s">
        <v>14</v>
      </c>
      <c r="C13" s="7">
        <v>82029</v>
      </c>
      <c r="D13" s="7">
        <v>83428</v>
      </c>
      <c r="E13" s="7">
        <v>83660</v>
      </c>
      <c r="F13" s="7">
        <v>86465</v>
      </c>
      <c r="G13" s="7">
        <v>86725</v>
      </c>
      <c r="H13" s="7">
        <v>88391</v>
      </c>
      <c r="I13" s="7">
        <v>90037</v>
      </c>
      <c r="J13" s="7">
        <v>91669</v>
      </c>
      <c r="K13" s="7">
        <v>92203</v>
      </c>
    </row>
    <row r="14" spans="2:11" x14ac:dyDescent="0.3">
      <c r="B14" s="3" t="s">
        <v>15</v>
      </c>
      <c r="C14" s="7">
        <v>39640</v>
      </c>
      <c r="D14" s="7">
        <v>40121</v>
      </c>
      <c r="E14" s="7">
        <v>41650</v>
      </c>
      <c r="F14" s="7">
        <v>41738</v>
      </c>
      <c r="G14" s="7">
        <v>42071</v>
      </c>
      <c r="H14" s="7">
        <v>44653</v>
      </c>
      <c r="I14" s="7">
        <v>45704</v>
      </c>
      <c r="J14" s="7">
        <v>46758</v>
      </c>
      <c r="K14" s="7">
        <v>47030</v>
      </c>
    </row>
    <row r="15" spans="2:11" x14ac:dyDescent="0.3">
      <c r="B15" s="3" t="s">
        <v>16</v>
      </c>
      <c r="C15" s="7">
        <v>72010</v>
      </c>
      <c r="D15" s="7">
        <v>72791</v>
      </c>
      <c r="E15" s="7">
        <v>72090</v>
      </c>
      <c r="F15" s="7">
        <v>75777</v>
      </c>
      <c r="G15" s="7">
        <v>76236</v>
      </c>
      <c r="H15" s="7">
        <v>74481</v>
      </c>
      <c r="I15" s="7">
        <v>75302</v>
      </c>
      <c r="J15" s="7">
        <v>76096</v>
      </c>
      <c r="K15" s="7">
        <v>76538</v>
      </c>
    </row>
    <row r="16" spans="2:11" x14ac:dyDescent="0.3">
      <c r="B16" s="3" t="s">
        <v>17</v>
      </c>
      <c r="C16" s="7">
        <v>38633</v>
      </c>
      <c r="D16" s="7">
        <v>39277</v>
      </c>
      <c r="E16" s="7">
        <v>39890</v>
      </c>
      <c r="F16" s="7">
        <v>40584</v>
      </c>
      <c r="G16" s="7">
        <v>40772</v>
      </c>
      <c r="H16" s="7">
        <v>41091</v>
      </c>
      <c r="I16" s="7">
        <v>41503</v>
      </c>
      <c r="J16" s="7">
        <v>41898</v>
      </c>
      <c r="K16" s="7">
        <v>42142</v>
      </c>
    </row>
    <row r="17" spans="2:11" x14ac:dyDescent="0.3">
      <c r="B17" s="3" t="s">
        <v>18</v>
      </c>
      <c r="C17" s="7">
        <v>84552</v>
      </c>
      <c r="D17" s="7">
        <v>86225</v>
      </c>
      <c r="E17" s="7">
        <v>87700</v>
      </c>
      <c r="F17" s="7">
        <v>90006</v>
      </c>
      <c r="G17" s="7">
        <v>90562</v>
      </c>
      <c r="H17" s="7">
        <v>93939</v>
      </c>
      <c r="I17" s="7">
        <v>96125</v>
      </c>
      <c r="J17" s="7">
        <v>98314</v>
      </c>
      <c r="K17" s="7">
        <v>98886</v>
      </c>
    </row>
    <row r="18" spans="2:11" x14ac:dyDescent="0.3">
      <c r="B18" s="3" t="s">
        <v>19</v>
      </c>
      <c r="C18" s="7">
        <v>24812</v>
      </c>
      <c r="D18" s="7">
        <v>25101</v>
      </c>
      <c r="E18" s="7">
        <v>25360</v>
      </c>
      <c r="F18" s="7">
        <v>25586</v>
      </c>
      <c r="G18" s="7">
        <v>25585</v>
      </c>
      <c r="H18" s="7">
        <v>26190</v>
      </c>
      <c r="I18" s="7">
        <v>26474</v>
      </c>
      <c r="J18" s="7">
        <v>26748</v>
      </c>
      <c r="K18" s="7">
        <v>26903</v>
      </c>
    </row>
    <row r="19" spans="2:11" x14ac:dyDescent="0.3">
      <c r="B19" s="3" t="s">
        <v>3</v>
      </c>
      <c r="C19" s="7">
        <v>74780</v>
      </c>
      <c r="D19" s="7">
        <v>76239</v>
      </c>
      <c r="E19" s="7">
        <v>77210</v>
      </c>
      <c r="F19" s="7">
        <v>79731</v>
      </c>
      <c r="G19" s="7">
        <v>80387</v>
      </c>
      <c r="H19" s="7">
        <v>82025</v>
      </c>
      <c r="I19" s="7">
        <v>83701</v>
      </c>
      <c r="J19" s="7">
        <v>85372</v>
      </c>
      <c r="K19" s="7">
        <v>85868</v>
      </c>
    </row>
    <row r="20" spans="2:11" x14ac:dyDescent="0.3">
      <c r="B20" s="3" t="s">
        <v>4</v>
      </c>
      <c r="C20" s="7">
        <v>77490</v>
      </c>
      <c r="D20" s="7">
        <v>78564</v>
      </c>
      <c r="E20" s="7">
        <v>79260</v>
      </c>
      <c r="F20" s="7">
        <v>80375</v>
      </c>
      <c r="G20" s="7">
        <v>80530</v>
      </c>
      <c r="H20" s="7">
        <v>82578</v>
      </c>
      <c r="I20" s="7">
        <v>83722</v>
      </c>
      <c r="J20" s="7">
        <v>84842</v>
      </c>
      <c r="K20" s="7">
        <v>85335</v>
      </c>
    </row>
    <row r="21" spans="2:11" x14ac:dyDescent="0.3">
      <c r="B21" s="3" t="s">
        <v>20</v>
      </c>
      <c r="C21" s="7">
        <v>69501</v>
      </c>
      <c r="D21" s="7">
        <v>70958</v>
      </c>
      <c r="E21" s="7">
        <v>71420</v>
      </c>
      <c r="F21" s="7">
        <v>73532</v>
      </c>
      <c r="G21" s="7">
        <v>73596</v>
      </c>
      <c r="H21" s="7">
        <v>75821</v>
      </c>
      <c r="I21" s="7">
        <v>77354</v>
      </c>
      <c r="J21" s="7">
        <v>78880</v>
      </c>
      <c r="K21" s="7">
        <v>79339</v>
      </c>
    </row>
    <row r="22" spans="2:11" x14ac:dyDescent="0.3">
      <c r="B22" s="3" t="s">
        <v>21</v>
      </c>
      <c r="C22" s="7">
        <v>128574</v>
      </c>
      <c r="D22" s="7">
        <v>130075</v>
      </c>
      <c r="E22" s="7">
        <v>126660</v>
      </c>
      <c r="F22" s="7">
        <v>131612</v>
      </c>
      <c r="G22" s="7">
        <v>131413</v>
      </c>
      <c r="H22" s="7">
        <v>128333</v>
      </c>
      <c r="I22" s="7">
        <v>128908</v>
      </c>
      <c r="J22" s="7">
        <v>129424</v>
      </c>
      <c r="K22" s="7">
        <v>131860</v>
      </c>
    </row>
    <row r="23" spans="2:11" x14ac:dyDescent="0.3">
      <c r="B23" s="3" t="s">
        <v>22</v>
      </c>
      <c r="C23" s="7">
        <v>119959</v>
      </c>
      <c r="D23" s="7">
        <v>120900</v>
      </c>
      <c r="E23" s="7">
        <v>115500</v>
      </c>
      <c r="F23" s="7">
        <v>121639</v>
      </c>
      <c r="G23" s="7">
        <v>121469</v>
      </c>
      <c r="H23" s="7">
        <v>117030</v>
      </c>
      <c r="I23" s="7">
        <v>117554</v>
      </c>
      <c r="J23" s="7">
        <v>118024</v>
      </c>
      <c r="K23" s="7">
        <v>118711</v>
      </c>
    </row>
    <row r="24" spans="2:11" x14ac:dyDescent="0.3">
      <c r="B24" s="3" t="s">
        <v>23</v>
      </c>
      <c r="C24" s="7">
        <v>36233</v>
      </c>
      <c r="D24" s="7">
        <v>37061</v>
      </c>
      <c r="E24" s="7">
        <v>34140</v>
      </c>
      <c r="F24" s="7">
        <v>37921</v>
      </c>
      <c r="G24" s="7">
        <v>38323</v>
      </c>
      <c r="H24" s="7">
        <v>34589</v>
      </c>
      <c r="I24" s="7">
        <v>34744</v>
      </c>
      <c r="J24" s="7">
        <v>34883</v>
      </c>
      <c r="K24" s="7">
        <v>35086</v>
      </c>
    </row>
    <row r="25" spans="2:11" x14ac:dyDescent="0.3">
      <c r="B25" s="3" t="s">
        <v>24</v>
      </c>
      <c r="C25" s="7">
        <v>98790</v>
      </c>
      <c r="D25" s="7">
        <v>99132</v>
      </c>
      <c r="E25" s="7">
        <v>96260</v>
      </c>
      <c r="F25" s="7">
        <v>99493</v>
      </c>
      <c r="G25" s="7">
        <v>99119</v>
      </c>
      <c r="H25" s="7">
        <v>98102</v>
      </c>
      <c r="I25" s="7">
        <v>98732</v>
      </c>
      <c r="J25" s="7">
        <v>99319</v>
      </c>
      <c r="K25" s="7">
        <v>99897</v>
      </c>
    </row>
    <row r="26" spans="2:11" x14ac:dyDescent="0.3">
      <c r="B26" s="3" t="s">
        <v>25</v>
      </c>
      <c r="C26" s="7">
        <v>94998</v>
      </c>
      <c r="D26" s="7">
        <v>96008</v>
      </c>
      <c r="E26" s="7">
        <v>92330</v>
      </c>
      <c r="F26" s="7">
        <v>96309</v>
      </c>
      <c r="G26" s="7">
        <v>96382</v>
      </c>
      <c r="H26" s="7">
        <v>93549</v>
      </c>
      <c r="I26" s="7">
        <v>93968</v>
      </c>
      <c r="J26" s="7">
        <v>94344</v>
      </c>
      <c r="K26" s="7">
        <v>95813</v>
      </c>
    </row>
    <row r="27" spans="2:11" x14ac:dyDescent="0.3">
      <c r="B27" s="3" t="s">
        <v>26</v>
      </c>
      <c r="C27" s="7">
        <v>28793</v>
      </c>
      <c r="D27" s="7">
        <v>28917</v>
      </c>
      <c r="E27" s="7">
        <v>26850</v>
      </c>
      <c r="F27" s="7">
        <v>28864</v>
      </c>
      <c r="G27" s="7">
        <v>28848</v>
      </c>
      <c r="H27" s="7">
        <v>27209</v>
      </c>
      <c r="I27" s="7">
        <v>27331</v>
      </c>
      <c r="J27" s="7">
        <v>27441</v>
      </c>
      <c r="K27" s="7">
        <v>27600</v>
      </c>
    </row>
    <row r="28" spans="2:11" x14ac:dyDescent="0.3">
      <c r="B28" s="3" t="s">
        <v>27</v>
      </c>
      <c r="C28" s="7">
        <v>111140</v>
      </c>
      <c r="D28" s="7">
        <v>112903</v>
      </c>
      <c r="E28" s="7">
        <v>107390</v>
      </c>
      <c r="F28" s="7">
        <v>113568</v>
      </c>
      <c r="G28" s="7">
        <v>113535</v>
      </c>
      <c r="H28" s="7">
        <v>109652</v>
      </c>
      <c r="I28" s="7">
        <v>110427</v>
      </c>
      <c r="J28" s="7">
        <v>111154</v>
      </c>
      <c r="K28" s="7">
        <v>111801</v>
      </c>
    </row>
    <row r="29" spans="2:11" x14ac:dyDescent="0.3">
      <c r="B29" s="3" t="s">
        <v>28</v>
      </c>
      <c r="C29" s="7">
        <v>69077</v>
      </c>
      <c r="D29" s="7">
        <v>69783</v>
      </c>
      <c r="E29" s="7">
        <v>67100</v>
      </c>
      <c r="F29" s="7">
        <v>70808</v>
      </c>
      <c r="G29" s="7">
        <v>70662</v>
      </c>
      <c r="H29" s="7">
        <v>67992</v>
      </c>
      <c r="I29" s="7">
        <v>68297</v>
      </c>
      <c r="J29" s="7">
        <v>68570</v>
      </c>
      <c r="K29" s="7">
        <v>69861</v>
      </c>
    </row>
    <row r="30" spans="2:11" x14ac:dyDescent="0.3">
      <c r="B30" s="3" t="s">
        <v>29</v>
      </c>
      <c r="C30" s="7">
        <v>112337</v>
      </c>
      <c r="D30" s="7">
        <v>114163</v>
      </c>
      <c r="E30" s="7">
        <v>110210</v>
      </c>
      <c r="F30" s="7">
        <v>115061</v>
      </c>
      <c r="G30" s="7">
        <v>115273</v>
      </c>
      <c r="H30" s="7">
        <v>111663</v>
      </c>
      <c r="I30" s="7">
        <v>112164</v>
      </c>
      <c r="J30" s="7">
        <v>112613</v>
      </c>
      <c r="K30" s="7">
        <v>113267</v>
      </c>
    </row>
    <row r="31" spans="2:11" x14ac:dyDescent="0.3">
      <c r="B31" s="3" t="s">
        <v>30</v>
      </c>
      <c r="C31" s="7">
        <v>100784</v>
      </c>
      <c r="D31" s="7">
        <v>101315</v>
      </c>
      <c r="E31" s="7">
        <v>100670</v>
      </c>
      <c r="F31" s="7">
        <v>102766</v>
      </c>
      <c r="G31" s="7">
        <v>103066</v>
      </c>
      <c r="H31" s="7">
        <v>102000</v>
      </c>
      <c r="I31" s="7">
        <v>102457</v>
      </c>
      <c r="J31" s="7">
        <v>102867</v>
      </c>
      <c r="K31" s="7">
        <v>103465</v>
      </c>
    </row>
    <row r="32" spans="2:11" x14ac:dyDescent="0.3">
      <c r="B32" s="3" t="s">
        <v>31</v>
      </c>
      <c r="C32" s="7">
        <v>76256</v>
      </c>
      <c r="D32" s="7">
        <v>76942</v>
      </c>
      <c r="E32" s="7">
        <v>74890</v>
      </c>
      <c r="F32" s="7">
        <v>77601</v>
      </c>
      <c r="G32" s="7">
        <v>77576</v>
      </c>
      <c r="H32" s="7">
        <v>75877</v>
      </c>
      <c r="I32" s="7">
        <v>76217</v>
      </c>
      <c r="J32" s="7">
        <v>76522</v>
      </c>
      <c r="K32" s="7">
        <v>76967</v>
      </c>
    </row>
    <row r="33" spans="2:11" x14ac:dyDescent="0.3">
      <c r="B33" s="3" t="s">
        <v>32</v>
      </c>
      <c r="C33" s="7">
        <v>53011</v>
      </c>
      <c r="D33" s="7">
        <v>53622</v>
      </c>
      <c r="E33" s="7">
        <v>52700</v>
      </c>
      <c r="F33" s="7">
        <v>54448</v>
      </c>
      <c r="G33" s="7">
        <v>54680</v>
      </c>
      <c r="H33" s="7">
        <v>53399</v>
      </c>
      <c r="I33" s="7">
        <v>53639</v>
      </c>
      <c r="J33" s="7">
        <v>53853</v>
      </c>
      <c r="K33" s="7">
        <v>54867</v>
      </c>
    </row>
    <row r="34" spans="2:11" x14ac:dyDescent="0.3">
      <c r="B34" s="1" t="s">
        <v>33</v>
      </c>
      <c r="C34" s="6">
        <f t="shared" ref="C34:G34" si="0">SUM(C4:C33)</f>
        <v>2452179</v>
      </c>
      <c r="D34" s="6">
        <f t="shared" si="0"/>
        <v>2480464</v>
      </c>
      <c r="E34" s="6">
        <f t="shared" si="0"/>
        <v>2444160</v>
      </c>
      <c r="F34" s="6">
        <f t="shared" si="0"/>
        <v>2526476</v>
      </c>
      <c r="G34" s="6">
        <f t="shared" si="0"/>
        <v>2530088</v>
      </c>
      <c r="H34" s="6">
        <f>SUM(H4:H33)</f>
        <v>2506573</v>
      </c>
      <c r="I34" s="6">
        <f>SUM(I4:I33)</f>
        <v>2528163</v>
      </c>
      <c r="J34" s="6">
        <f>SUM(J4:J33)</f>
        <v>2548784</v>
      </c>
      <c r="K34" s="6">
        <f>SUM(K4:K33)</f>
        <v>2569102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FD04-7CD8-4E6B-805E-5CE90279D4C1}">
  <dimension ref="B3:H37"/>
  <sheetViews>
    <sheetView tabSelected="1" workbookViewId="0">
      <selection activeCell="B3" sqref="B3:H34"/>
    </sheetView>
  </sheetViews>
  <sheetFormatPr defaultRowHeight="15.6" x14ac:dyDescent="0.3"/>
  <cols>
    <col min="1" max="1" width="16.5546875" style="2" bestFit="1" customWidth="1"/>
    <col min="2" max="2" width="17" style="2" bestFit="1" customWidth="1"/>
    <col min="3" max="3" width="10.88671875" style="2" bestFit="1" customWidth="1"/>
    <col min="4" max="4" width="17.33203125" style="2" bestFit="1" customWidth="1"/>
    <col min="5" max="6" width="23.21875" style="2" bestFit="1" customWidth="1"/>
    <col min="7" max="7" width="22.109375" style="2" customWidth="1"/>
    <col min="8" max="8" width="17.88671875" style="2" bestFit="1" customWidth="1"/>
    <col min="9" max="16384" width="8.88671875" style="2"/>
  </cols>
  <sheetData>
    <row r="3" spans="2:8" ht="46.8" x14ac:dyDescent="0.3">
      <c r="B3" s="16" t="s">
        <v>0</v>
      </c>
      <c r="C3" s="16" t="s">
        <v>1</v>
      </c>
      <c r="D3" s="16" t="s">
        <v>36</v>
      </c>
      <c r="E3" s="16" t="s">
        <v>2</v>
      </c>
      <c r="F3" s="16" t="s">
        <v>39</v>
      </c>
      <c r="G3" s="16" t="s">
        <v>40</v>
      </c>
      <c r="H3" s="17" t="s">
        <v>44</v>
      </c>
    </row>
    <row r="4" spans="2:8" x14ac:dyDescent="0.3">
      <c r="B4" s="3" t="str">
        <f>'[1]Jumlah Populasi'!B4</f>
        <v>Bandung Kulon</v>
      </c>
      <c r="C4" s="7">
        <f>'[1]Jumlah Populasi'!I4</f>
        <v>141347</v>
      </c>
      <c r="D4" s="8">
        <f t="shared" ref="D4:D33" si="0">(C4/$C$34)</f>
        <v>5.5908974223576567E-2</v>
      </c>
      <c r="E4" s="7">
        <f t="shared" ref="E4:E33" si="1">D4*$E$34</f>
        <v>5652.397294003591</v>
      </c>
      <c r="F4" s="12"/>
      <c r="G4" s="7"/>
      <c r="H4" s="3"/>
    </row>
    <row r="5" spans="2:8" x14ac:dyDescent="0.3">
      <c r="B5" s="3" t="str">
        <f>'[1]Jumlah Populasi'!B5</f>
        <v>Babakan Ciparay</v>
      </c>
      <c r="C5" s="7">
        <f>'[1]Jumlah Populasi'!I5</f>
        <v>144970</v>
      </c>
      <c r="D5" s="8">
        <f t="shared" si="0"/>
        <v>5.734203055736517E-2</v>
      </c>
      <c r="E5" s="7">
        <f t="shared" si="1"/>
        <v>5797.2792893496189</v>
      </c>
      <c r="F5" s="12"/>
      <c r="G5" s="7"/>
      <c r="H5" s="3"/>
    </row>
    <row r="6" spans="2:8" x14ac:dyDescent="0.3">
      <c r="B6" s="3" t="str">
        <f>'[1]Jumlah Populasi'!B6</f>
        <v>Bojongloa Kaler</v>
      </c>
      <c r="C6" s="7">
        <f>'[1]Jumlah Populasi'!I6</f>
        <v>122099</v>
      </c>
      <c r="D6" s="8">
        <f t="shared" si="0"/>
        <v>4.829554107073001E-2</v>
      </c>
      <c r="E6" s="7">
        <f t="shared" si="1"/>
        <v>4882.6792022508043</v>
      </c>
      <c r="F6" s="12"/>
      <c r="G6" s="7"/>
      <c r="H6" s="3"/>
    </row>
    <row r="7" spans="2:8" x14ac:dyDescent="0.3">
      <c r="B7" s="3" t="str">
        <f>'[1]Jumlah Populasi'!B7</f>
        <v>Bojongloa Kidul</v>
      </c>
      <c r="C7" s="7">
        <f>'[1]Jumlah Populasi'!I7</f>
        <v>89551</v>
      </c>
      <c r="D7" s="8">
        <f t="shared" si="0"/>
        <v>3.5421371169501337E-2</v>
      </c>
      <c r="E7" s="7">
        <f t="shared" si="1"/>
        <v>3581.1006252365851</v>
      </c>
      <c r="F7" s="12"/>
      <c r="G7" s="7"/>
      <c r="H7" s="3"/>
    </row>
    <row r="8" spans="2:8" x14ac:dyDescent="0.3">
      <c r="B8" s="3" t="str">
        <f>'[1]Jumlah Populasi'!B8</f>
        <v>Astanaanyar</v>
      </c>
      <c r="C8" s="7">
        <f>'[1]Jumlah Populasi'!I8</f>
        <v>70193</v>
      </c>
      <c r="D8" s="8">
        <f t="shared" si="0"/>
        <v>2.7764428163848612E-2</v>
      </c>
      <c r="E8" s="7">
        <f t="shared" si="1"/>
        <v>2806.9836873650947</v>
      </c>
      <c r="F8" s="12"/>
      <c r="G8" s="7"/>
      <c r="H8" s="3"/>
    </row>
    <row r="9" spans="2:8" x14ac:dyDescent="0.3">
      <c r="B9" s="3" t="str">
        <f>'[1]Jumlah Populasi'!B9</f>
        <v>Regol</v>
      </c>
      <c r="C9" s="7">
        <f>'[1]Jumlah Populasi'!I9</f>
        <v>80543</v>
      </c>
      <c r="D9" s="8">
        <f t="shared" si="0"/>
        <v>3.18583097687926E-2</v>
      </c>
      <c r="E9" s="7">
        <f t="shared" si="1"/>
        <v>3220.875117624932</v>
      </c>
      <c r="F9" s="12"/>
      <c r="G9" s="7"/>
      <c r="H9" s="3"/>
    </row>
    <row r="10" spans="2:8" x14ac:dyDescent="0.3">
      <c r="B10" s="3" t="str">
        <f>'[1]Jumlah Populasi'!B10</f>
        <v>Lengkong</v>
      </c>
      <c r="C10" s="7">
        <f>'[1]Jumlah Populasi'!I10</f>
        <v>67408</v>
      </c>
      <c r="D10" s="8">
        <f t="shared" si="0"/>
        <v>2.6662837799619723E-2</v>
      </c>
      <c r="E10" s="7">
        <f t="shared" si="1"/>
        <v>2695.612901541554</v>
      </c>
      <c r="F10" s="12"/>
      <c r="G10" s="7"/>
      <c r="H10" s="3"/>
    </row>
    <row r="11" spans="2:8" x14ac:dyDescent="0.3">
      <c r="B11" s="3" t="str">
        <f>'[1]Jumlah Populasi'!B11</f>
        <v>Bandung Kidul</v>
      </c>
      <c r="C11" s="7">
        <f>'[1]Jumlah Populasi'!I11</f>
        <v>62100</v>
      </c>
      <c r="D11" s="8">
        <f t="shared" si="0"/>
        <v>2.456328962966391E-2</v>
      </c>
      <c r="E11" s="7">
        <f t="shared" si="1"/>
        <v>2483.3485815590211</v>
      </c>
      <c r="F11" s="12"/>
      <c r="G11" s="7"/>
      <c r="H11" s="3"/>
    </row>
    <row r="12" spans="2:8" x14ac:dyDescent="0.3">
      <c r="B12" s="3" t="str">
        <f>'[1]Jumlah Populasi'!B12</f>
        <v>Buahbatu</v>
      </c>
      <c r="C12" s="7">
        <f>'[1]Jumlah Populasi'!I12</f>
        <v>105592</v>
      </c>
      <c r="D12" s="8">
        <f t="shared" si="0"/>
        <v>4.1766294340989878E-2</v>
      </c>
      <c r="E12" s="7">
        <f t="shared" si="1"/>
        <v>4222.5723578740763</v>
      </c>
      <c r="F12" s="12"/>
      <c r="G12" s="7"/>
      <c r="H12" s="3"/>
    </row>
    <row r="13" spans="2:8" x14ac:dyDescent="0.3">
      <c r="B13" s="3" t="str">
        <f>'[1]Jumlah Populasi'!B13</f>
        <v>Rancasari</v>
      </c>
      <c r="C13" s="7">
        <f>'[1]Jumlah Populasi'!I13</f>
        <v>90037</v>
      </c>
      <c r="D13" s="8">
        <f t="shared" si="0"/>
        <v>3.5613605610081311E-2</v>
      </c>
      <c r="E13" s="7">
        <f t="shared" si="1"/>
        <v>3600.5355271792205</v>
      </c>
      <c r="F13" s="12"/>
      <c r="G13" s="7"/>
      <c r="H13" s="3"/>
    </row>
    <row r="14" spans="2:8" x14ac:dyDescent="0.3">
      <c r="B14" s="3" t="str">
        <f>'[1]Jumlah Populasi'!B14</f>
        <v>Gedebage</v>
      </c>
      <c r="C14" s="7">
        <f>'[1]Jumlah Populasi'!I14</f>
        <v>45704</v>
      </c>
      <c r="D14" s="8">
        <f t="shared" si="0"/>
        <v>1.8077948296846367E-2</v>
      </c>
      <c r="E14" s="7">
        <f t="shared" si="1"/>
        <v>1827.6805728111676</v>
      </c>
      <c r="F14" s="12"/>
      <c r="G14" s="7"/>
      <c r="H14" s="3"/>
    </row>
    <row r="15" spans="2:8" x14ac:dyDescent="0.3">
      <c r="B15" s="3" t="str">
        <f>'[1]Jumlah Populasi'!B15</f>
        <v>Cibiru</v>
      </c>
      <c r="C15" s="7">
        <f>'[1]Jumlah Populasi'!I15</f>
        <v>75302</v>
      </c>
      <c r="D15" s="8">
        <f t="shared" si="0"/>
        <v>2.9785263054636905E-2</v>
      </c>
      <c r="E15" s="7">
        <f t="shared" si="1"/>
        <v>3011.2900948237912</v>
      </c>
      <c r="F15" s="12"/>
      <c r="G15" s="7"/>
      <c r="H15" s="3"/>
    </row>
    <row r="16" spans="2:8" x14ac:dyDescent="0.3">
      <c r="B16" s="3" t="str">
        <f>'[1]Jumlah Populasi'!B16</f>
        <v xml:space="preserve">Panyileukan </v>
      </c>
      <c r="C16" s="7">
        <f>'[1]Jumlah Populasi'!I16</f>
        <v>41503</v>
      </c>
      <c r="D16" s="8">
        <f t="shared" si="0"/>
        <v>1.6416267463767169E-2</v>
      </c>
      <c r="E16" s="7">
        <f t="shared" si="1"/>
        <v>1659.6846405868607</v>
      </c>
      <c r="F16" s="12"/>
      <c r="G16" s="7"/>
      <c r="H16" s="3"/>
    </row>
    <row r="17" spans="2:8" x14ac:dyDescent="0.3">
      <c r="B17" s="3" t="str">
        <f>'[1]Jumlah Populasi'!B17</f>
        <v>Ujung Berung</v>
      </c>
      <c r="C17" s="7">
        <f>'[1]Jumlah Populasi'!I17</f>
        <v>96125</v>
      </c>
      <c r="D17" s="8">
        <f t="shared" si="0"/>
        <v>3.8021678190844496E-2</v>
      </c>
      <c r="E17" s="7">
        <f t="shared" si="1"/>
        <v>3843.9916650943787</v>
      </c>
      <c r="F17" s="12"/>
      <c r="G17" s="7"/>
      <c r="H17" s="3"/>
    </row>
    <row r="18" spans="2:8" x14ac:dyDescent="0.3">
      <c r="B18" s="3" t="str">
        <f>'[1]Jumlah Populasi'!B18</f>
        <v>Cinambo</v>
      </c>
      <c r="C18" s="7">
        <f>'[1]Jumlah Populasi'!I18</f>
        <v>26474</v>
      </c>
      <c r="D18" s="8">
        <f t="shared" si="0"/>
        <v>1.0471634938095368E-2</v>
      </c>
      <c r="E18" s="7">
        <f t="shared" si="1"/>
        <v>1058.6822922414417</v>
      </c>
      <c r="F18" s="12"/>
      <c r="G18" s="7"/>
      <c r="H18" s="3"/>
    </row>
    <row r="19" spans="2:8" x14ac:dyDescent="0.3">
      <c r="B19" s="3" t="str">
        <f>'[1]Jumlah Populasi'!B19</f>
        <v>Arcamanik</v>
      </c>
      <c r="C19" s="7">
        <f>'[1]Jumlah Populasi'!I19</f>
        <v>83701</v>
      </c>
      <c r="D19" s="8">
        <f t="shared" si="0"/>
        <v>3.3107438088446038E-2</v>
      </c>
      <c r="E19" s="7">
        <f t="shared" si="1"/>
        <v>3347.1619907418944</v>
      </c>
      <c r="F19" s="12"/>
      <c r="G19" s="7"/>
      <c r="H19" s="3"/>
    </row>
    <row r="20" spans="2:8" x14ac:dyDescent="0.3">
      <c r="B20" s="3" t="str">
        <f>'[1]Jumlah Populasi'!B20</f>
        <v>Antapani</v>
      </c>
      <c r="C20" s="7">
        <f>'[1]Jumlah Populasi'!I20</f>
        <v>83722</v>
      </c>
      <c r="D20" s="8">
        <f t="shared" si="0"/>
        <v>3.3115744514890855E-2</v>
      </c>
      <c r="E20" s="7">
        <f t="shared" si="1"/>
        <v>3348.0017704554652</v>
      </c>
      <c r="F20" s="12"/>
      <c r="G20" s="7"/>
      <c r="H20" s="3"/>
    </row>
    <row r="21" spans="2:8" x14ac:dyDescent="0.3">
      <c r="B21" s="3" t="str">
        <f>'[1]Jumlah Populasi'!B21</f>
        <v>Mandalajati</v>
      </c>
      <c r="C21" s="7">
        <f>'[1]Jumlah Populasi'!I21</f>
        <v>77354</v>
      </c>
      <c r="D21" s="8">
        <f t="shared" si="0"/>
        <v>3.0596919581530147E-2</v>
      </c>
      <c r="E21" s="7">
        <f t="shared" si="1"/>
        <v>3093.3485696926978</v>
      </c>
      <c r="F21" s="12"/>
      <c r="G21" s="7"/>
      <c r="H21" s="3"/>
    </row>
    <row r="22" spans="2:8" x14ac:dyDescent="0.3">
      <c r="B22" s="3" t="str">
        <f>'[1]Jumlah Populasi'!B22</f>
        <v>Kiaracondong</v>
      </c>
      <c r="C22" s="7">
        <f>'[1]Jumlah Populasi'!I22</f>
        <v>128908</v>
      </c>
      <c r="D22" s="8">
        <f t="shared" si="0"/>
        <v>5.0988800959431806E-2</v>
      </c>
      <c r="E22" s="7">
        <f t="shared" si="1"/>
        <v>5154.9677769985556</v>
      </c>
      <c r="F22" s="12"/>
      <c r="G22" s="7"/>
      <c r="H22" s="3"/>
    </row>
    <row r="23" spans="2:8" x14ac:dyDescent="0.3">
      <c r="B23" s="3" t="str">
        <f>'[1]Jumlah Populasi'!B23</f>
        <v>Batununggal</v>
      </c>
      <c r="C23" s="7">
        <f>'[1]Jumlah Populasi'!I23</f>
        <v>117554</v>
      </c>
      <c r="D23" s="8">
        <f t="shared" si="0"/>
        <v>4.6497793061602434E-2</v>
      </c>
      <c r="E23" s="7">
        <f t="shared" si="1"/>
        <v>4700.9268785280065</v>
      </c>
      <c r="F23" s="12"/>
      <c r="G23" s="7"/>
      <c r="H23" s="3"/>
    </row>
    <row r="24" spans="2:8" x14ac:dyDescent="0.3">
      <c r="B24" s="3" t="str">
        <f>'[1]Jumlah Populasi'!B24</f>
        <v xml:space="preserve">Sumur Bandung </v>
      </c>
      <c r="C24" s="7">
        <f>'[1]Jumlah Populasi'!I24</f>
        <v>34744</v>
      </c>
      <c r="D24" s="8">
        <f t="shared" si="0"/>
        <v>1.3742784780886358E-2</v>
      </c>
      <c r="E24" s="7">
        <f t="shared" si="1"/>
        <v>1389.3955413476108</v>
      </c>
      <c r="F24" s="12"/>
      <c r="G24" s="7"/>
      <c r="H24" s="3"/>
    </row>
    <row r="25" spans="2:8" x14ac:dyDescent="0.3">
      <c r="B25" s="3" t="str">
        <f>'[1]Jumlah Populasi'!B25</f>
        <v>Andir</v>
      </c>
      <c r="C25" s="7">
        <f>'[1]Jumlah Populasi'!I25</f>
        <v>98732</v>
      </c>
      <c r="D25" s="8">
        <f t="shared" si="0"/>
        <v>3.9052861702350679E-2</v>
      </c>
      <c r="E25" s="7">
        <f t="shared" si="1"/>
        <v>3948.2443181076537</v>
      </c>
      <c r="F25" s="12"/>
      <c r="G25" s="7"/>
      <c r="H25" s="3"/>
    </row>
    <row r="26" spans="2:8" x14ac:dyDescent="0.3">
      <c r="B26" s="3" t="str">
        <f>'[1]Jumlah Populasi'!B26</f>
        <v>Cicendo</v>
      </c>
      <c r="C26" s="7">
        <f>'[1]Jumlah Populasi'!I26</f>
        <v>93968</v>
      </c>
      <c r="D26" s="8">
        <f t="shared" si="0"/>
        <v>3.7168489531727189E-2</v>
      </c>
      <c r="E26" s="7">
        <f t="shared" si="1"/>
        <v>3757.734291657619</v>
      </c>
      <c r="F26" s="12"/>
      <c r="G26" s="7"/>
      <c r="H26" s="3"/>
    </row>
    <row r="27" spans="2:8" x14ac:dyDescent="0.3">
      <c r="B27" s="3" t="str">
        <f>'[1]Jumlah Populasi'!B27</f>
        <v>Bandung Wetan</v>
      </c>
      <c r="C27" s="7">
        <f>'[1]Jumlah Populasi'!I27</f>
        <v>27331</v>
      </c>
      <c r="D27" s="8">
        <f t="shared" si="0"/>
        <v>1.0810616245867058E-2</v>
      </c>
      <c r="E27" s="7">
        <f t="shared" si="1"/>
        <v>1092.9533024571595</v>
      </c>
      <c r="F27" s="12"/>
      <c r="G27" s="7"/>
      <c r="H27" s="3"/>
    </row>
    <row r="28" spans="2:8" x14ac:dyDescent="0.3">
      <c r="B28" s="3" t="str">
        <f>'[1]Jumlah Populasi'!B28</f>
        <v>Cibeunying Kidul</v>
      </c>
      <c r="C28" s="7">
        <f>'[1]Jumlah Populasi'!I28</f>
        <v>110427</v>
      </c>
      <c r="D28" s="8">
        <f t="shared" si="0"/>
        <v>4.3678750143879175E-2</v>
      </c>
      <c r="E28" s="7">
        <f t="shared" si="1"/>
        <v>4415.9216395461845</v>
      </c>
      <c r="F28" s="12"/>
      <c r="G28" s="7"/>
      <c r="H28" s="3"/>
    </row>
    <row r="29" spans="2:8" x14ac:dyDescent="0.3">
      <c r="B29" s="3" t="str">
        <f>'[1]Jumlah Populasi'!B29</f>
        <v>Cibeunying Kaler</v>
      </c>
      <c r="C29" s="7">
        <f>'[1]Jumlah Populasi'!I29</f>
        <v>68297</v>
      </c>
      <c r="D29" s="8">
        <f t="shared" si="0"/>
        <v>2.7014476519116846E-2</v>
      </c>
      <c r="E29" s="7">
        <f t="shared" si="1"/>
        <v>2731.163576082713</v>
      </c>
      <c r="F29" s="12"/>
      <c r="G29" s="7"/>
      <c r="H29" s="3"/>
    </row>
    <row r="30" spans="2:8" x14ac:dyDescent="0.3">
      <c r="B30" s="3" t="str">
        <f>'[1]Jumlah Populasi'!B30</f>
        <v>Coblong</v>
      </c>
      <c r="C30" s="7">
        <f>'[1]Jumlah Populasi'!I30</f>
        <v>112164</v>
      </c>
      <c r="D30" s="8">
        <f t="shared" si="0"/>
        <v>4.4365810274100206E-2</v>
      </c>
      <c r="E30" s="7">
        <f t="shared" si="1"/>
        <v>4485.3834187115308</v>
      </c>
      <c r="F30" s="12"/>
      <c r="G30" s="7"/>
      <c r="H30" s="3"/>
    </row>
    <row r="31" spans="2:8" x14ac:dyDescent="0.3">
      <c r="B31" s="3" t="str">
        <f>'[1]Jumlah Populasi'!B31</f>
        <v>Sukajadi</v>
      </c>
      <c r="C31" s="7">
        <f>'[1]Jumlah Populasi'!I31</f>
        <v>102457</v>
      </c>
      <c r="D31" s="8">
        <f t="shared" si="0"/>
        <v>4.0526263536014094E-2</v>
      </c>
      <c r="E31" s="7">
        <f t="shared" si="1"/>
        <v>4097.2052434910247</v>
      </c>
      <c r="F31" s="12"/>
      <c r="G31" s="7"/>
      <c r="H31" s="3"/>
    </row>
    <row r="32" spans="2:8" x14ac:dyDescent="0.3">
      <c r="B32" s="3" t="str">
        <f>'[1]Jumlah Populasi'!B32</f>
        <v>Sukasari</v>
      </c>
      <c r="C32" s="7">
        <f>'[1]Jumlah Populasi'!I32</f>
        <v>76217</v>
      </c>
      <c r="D32" s="8">
        <f t="shared" si="0"/>
        <v>3.0147185921160939E-2</v>
      </c>
      <c r="E32" s="7">
        <f t="shared" si="1"/>
        <v>3047.880496629371</v>
      </c>
      <c r="F32" s="12"/>
      <c r="G32" s="7"/>
      <c r="H32" s="3"/>
    </row>
    <row r="33" spans="2:8" x14ac:dyDescent="0.3">
      <c r="B33" s="3" t="str">
        <f>'[1]Jumlah Populasi'!B33</f>
        <v>Cidadap</v>
      </c>
      <c r="C33" s="7">
        <f>'[1]Jumlah Populasi'!I33</f>
        <v>53639</v>
      </c>
      <c r="D33" s="8">
        <f t="shared" si="0"/>
        <v>2.1216590860636753E-2</v>
      </c>
      <c r="E33" s="7">
        <f t="shared" si="1"/>
        <v>2144.9973360103759</v>
      </c>
      <c r="F33" s="12"/>
      <c r="G33" s="7"/>
      <c r="H33" s="3"/>
    </row>
    <row r="34" spans="2:8" x14ac:dyDescent="0.3">
      <c r="B34" s="1" t="str">
        <f>'[1]Jumlah Populasi'!B34</f>
        <v>Kota Bandung</v>
      </c>
      <c r="C34" s="6">
        <f>SUM(C4:C33)</f>
        <v>2528163</v>
      </c>
      <c r="D34" s="8">
        <f>SUM(D4:D33)</f>
        <v>1</v>
      </c>
      <c r="E34" s="6">
        <v>101100</v>
      </c>
      <c r="F34" s="13">
        <v>45395649783</v>
      </c>
      <c r="G34" s="13">
        <v>45395649783</v>
      </c>
      <c r="H34" s="3"/>
    </row>
    <row r="37" spans="2:8" x14ac:dyDescent="0.3">
      <c r="E37" s="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68BB8-0D29-4F7D-B18E-E70C5B5740B6}">
  <dimension ref="B3:C8"/>
  <sheetViews>
    <sheetView workbookViewId="0">
      <selection activeCell="F12" sqref="F12"/>
    </sheetView>
  </sheetViews>
  <sheetFormatPr defaultRowHeight="14.4" x14ac:dyDescent="0.3"/>
  <cols>
    <col min="3" max="3" width="19.33203125" bestFit="1" customWidth="1"/>
  </cols>
  <sheetData>
    <row r="3" spans="2:3" ht="15.6" x14ac:dyDescent="0.3">
      <c r="B3" s="1" t="s">
        <v>34</v>
      </c>
      <c r="C3" s="1" t="s">
        <v>35</v>
      </c>
    </row>
    <row r="4" spans="2:3" ht="15.6" x14ac:dyDescent="0.3">
      <c r="B4" s="3">
        <v>2021</v>
      </c>
      <c r="C4" s="8">
        <v>112.5</v>
      </c>
    </row>
    <row r="5" spans="2:3" ht="15.6" x14ac:dyDescent="0.3">
      <c r="B5" s="3">
        <v>2022</v>
      </c>
      <c r="C5" s="8">
        <v>109.82</v>
      </c>
    </row>
    <row r="6" spans="2:3" ht="15.6" x14ac:dyDescent="0.3">
      <c r="B6" s="3">
        <v>2023</v>
      </c>
      <c r="C6" s="8">
        <v>102.8</v>
      </c>
    </row>
    <row r="7" spans="2:3" ht="15.6" x14ac:dyDescent="0.3">
      <c r="B7" s="3">
        <v>2024</v>
      </c>
      <c r="C7" s="8">
        <v>101.1</v>
      </c>
    </row>
    <row r="8" spans="2:3" ht="15.6" x14ac:dyDescent="0.3">
      <c r="B8" s="3">
        <v>2025</v>
      </c>
      <c r="C8" s="8">
        <v>99.12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9664-E54E-428E-A5DA-5DAEA19740A1}">
  <dimension ref="C2:D15"/>
  <sheetViews>
    <sheetView workbookViewId="0">
      <selection activeCell="D14" sqref="D14"/>
    </sheetView>
  </sheetViews>
  <sheetFormatPr defaultRowHeight="15.6" x14ac:dyDescent="0.3"/>
  <cols>
    <col min="1" max="3" width="8.88671875" style="2"/>
    <col min="4" max="4" width="19.33203125" style="2" bestFit="1" customWidth="1"/>
    <col min="5" max="16384" width="8.88671875" style="2"/>
  </cols>
  <sheetData>
    <row r="2" spans="3:4" x14ac:dyDescent="0.3">
      <c r="C2" s="1" t="s">
        <v>34</v>
      </c>
      <c r="D2" s="1" t="s">
        <v>35</v>
      </c>
    </row>
    <row r="3" spans="3:4" x14ac:dyDescent="0.3">
      <c r="C3" s="3">
        <v>2013</v>
      </c>
      <c r="D3" s="8">
        <v>117.11</v>
      </c>
    </row>
    <row r="4" spans="3:4" x14ac:dyDescent="0.3">
      <c r="C4" s="3">
        <v>2014</v>
      </c>
      <c r="D4" s="8">
        <v>115</v>
      </c>
    </row>
    <row r="5" spans="3:4" x14ac:dyDescent="0.3">
      <c r="C5" s="3">
        <v>2015</v>
      </c>
      <c r="D5" s="8">
        <v>114.12</v>
      </c>
    </row>
    <row r="6" spans="3:4" x14ac:dyDescent="0.3">
      <c r="C6" s="3">
        <v>2016</v>
      </c>
      <c r="D6" s="8">
        <v>107.58</v>
      </c>
    </row>
    <row r="7" spans="3:4" x14ac:dyDescent="0.3">
      <c r="C7" s="3">
        <v>2017</v>
      </c>
      <c r="D7" s="8">
        <v>103.98</v>
      </c>
    </row>
    <row r="8" spans="3:4" x14ac:dyDescent="0.3">
      <c r="C8" s="3">
        <v>2018</v>
      </c>
      <c r="D8" s="8">
        <v>89.38</v>
      </c>
    </row>
    <row r="9" spans="3:4" x14ac:dyDescent="0.3">
      <c r="C9" s="3">
        <v>2019</v>
      </c>
      <c r="D9" s="8">
        <v>84.67</v>
      </c>
    </row>
    <row r="10" spans="3:4" x14ac:dyDescent="0.3">
      <c r="C10" s="3">
        <v>2020</v>
      </c>
      <c r="D10" s="8">
        <v>100.02</v>
      </c>
    </row>
    <row r="11" spans="3:4" x14ac:dyDescent="0.3">
      <c r="C11" s="3">
        <v>2021</v>
      </c>
      <c r="D11" s="8">
        <v>112.5</v>
      </c>
    </row>
    <row r="12" spans="3:4" x14ac:dyDescent="0.3">
      <c r="C12" s="3">
        <v>2022</v>
      </c>
      <c r="D12" s="8">
        <v>109.82</v>
      </c>
    </row>
    <row r="13" spans="3:4" x14ac:dyDescent="0.3">
      <c r="C13" s="3">
        <v>2023</v>
      </c>
      <c r="D13" s="8">
        <v>102.8</v>
      </c>
    </row>
    <row r="14" spans="3:4" x14ac:dyDescent="0.3">
      <c r="C14" s="3">
        <v>2024</v>
      </c>
      <c r="D14" s="8">
        <v>101.1</v>
      </c>
    </row>
    <row r="15" spans="3:4" x14ac:dyDescent="0.3">
      <c r="C15" s="3">
        <v>2025</v>
      </c>
      <c r="D15" s="8">
        <v>99.12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8D138-E2DB-428C-84AD-8477C733A7DD}">
  <dimension ref="B2:G10"/>
  <sheetViews>
    <sheetView zoomScaleNormal="100" workbookViewId="0">
      <selection activeCell="D19" sqref="D19"/>
    </sheetView>
  </sheetViews>
  <sheetFormatPr defaultRowHeight="14.4" x14ac:dyDescent="0.3"/>
  <cols>
    <col min="3" max="4" width="19.5546875" bestFit="1" customWidth="1"/>
    <col min="7" max="7" width="18.5546875" bestFit="1" customWidth="1"/>
  </cols>
  <sheetData>
    <row r="2" spans="2:7" x14ac:dyDescent="0.3">
      <c r="C2" s="14" t="s">
        <v>33</v>
      </c>
    </row>
    <row r="3" spans="2:7" x14ac:dyDescent="0.3">
      <c r="B3" s="9" t="s">
        <v>34</v>
      </c>
      <c r="C3" s="9" t="s">
        <v>37</v>
      </c>
      <c r="D3" s="9" t="s">
        <v>38</v>
      </c>
    </row>
    <row r="4" spans="2:7" x14ac:dyDescent="0.3">
      <c r="B4" s="9">
        <v>2019</v>
      </c>
      <c r="C4" s="10">
        <v>26266623894</v>
      </c>
      <c r="D4" s="10">
        <v>23845930075</v>
      </c>
    </row>
    <row r="5" spans="2:7" x14ac:dyDescent="0.3">
      <c r="B5" s="9">
        <v>2020</v>
      </c>
      <c r="C5" s="10">
        <v>23896828346</v>
      </c>
      <c r="D5" s="10">
        <v>22822334528</v>
      </c>
    </row>
    <row r="6" spans="2:7" x14ac:dyDescent="0.3">
      <c r="B6" s="9">
        <v>2021</v>
      </c>
      <c r="C6" s="15">
        <v>21492941583</v>
      </c>
      <c r="D6" s="15">
        <v>24291607699</v>
      </c>
    </row>
    <row r="7" spans="2:7" x14ac:dyDescent="0.3">
      <c r="B7" s="9">
        <v>2022</v>
      </c>
      <c r="C7" s="10">
        <v>24132262082</v>
      </c>
      <c r="D7" s="10">
        <v>22260571614</v>
      </c>
    </row>
    <row r="8" spans="2:7" x14ac:dyDescent="0.3">
      <c r="B8" s="9">
        <v>2023</v>
      </c>
      <c r="C8" s="10">
        <v>22396087820</v>
      </c>
      <c r="D8" s="10">
        <v>23070537555</v>
      </c>
      <c r="G8" s="11"/>
    </row>
    <row r="9" spans="2:7" x14ac:dyDescent="0.3">
      <c r="B9" s="9">
        <v>2024</v>
      </c>
      <c r="C9" s="10">
        <v>26092940784</v>
      </c>
      <c r="D9" s="10">
        <v>26747025974</v>
      </c>
    </row>
    <row r="10" spans="2:7" x14ac:dyDescent="0.3">
      <c r="B10" s="9">
        <v>2025</v>
      </c>
      <c r="C10" s="10"/>
      <c r="D10" s="1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192E-8A7D-4977-9760-27F93AAA3B87}">
  <dimension ref="B1:I7"/>
  <sheetViews>
    <sheetView zoomScale="115" zoomScaleNormal="115" workbookViewId="0">
      <selection activeCell="C9" sqref="C9"/>
    </sheetView>
  </sheetViews>
  <sheetFormatPr defaultRowHeight="14.4" x14ac:dyDescent="0.3"/>
  <cols>
    <col min="3" max="4" width="19" bestFit="1" customWidth="1"/>
  </cols>
  <sheetData>
    <row r="1" spans="2:9" x14ac:dyDescent="0.3">
      <c r="C1" s="14" t="s">
        <v>42</v>
      </c>
    </row>
    <row r="3" spans="2:9" x14ac:dyDescent="0.3">
      <c r="B3" s="9" t="s">
        <v>34</v>
      </c>
      <c r="C3" s="9" t="s">
        <v>37</v>
      </c>
      <c r="D3" s="9" t="s">
        <v>41</v>
      </c>
      <c r="I3" t="s">
        <v>43</v>
      </c>
    </row>
    <row r="4" spans="2:9" x14ac:dyDescent="0.3">
      <c r="B4" s="9">
        <v>2021</v>
      </c>
      <c r="C4" s="10">
        <v>38437434957</v>
      </c>
      <c r="D4" s="10">
        <v>41247500000</v>
      </c>
    </row>
    <row r="5" spans="2:9" x14ac:dyDescent="0.3">
      <c r="B5" s="9">
        <v>2022</v>
      </c>
      <c r="C5" s="10">
        <v>48711670390</v>
      </c>
      <c r="D5" s="10">
        <v>46500000000</v>
      </c>
    </row>
    <row r="6" spans="2:9" x14ac:dyDescent="0.3">
      <c r="B6" s="9">
        <v>2023</v>
      </c>
      <c r="C6" s="10">
        <v>50343163277</v>
      </c>
      <c r="D6" s="10">
        <v>65015750000</v>
      </c>
    </row>
    <row r="7" spans="2:9" x14ac:dyDescent="0.3">
      <c r="B7" s="9">
        <v>2024</v>
      </c>
      <c r="C7" s="10">
        <v>53486147404</v>
      </c>
      <c r="D7" s="10">
        <v>65000000000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61616-83AB-45A6-B8A1-831D79BAF79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Jumlah Populasi</vt:lpstr>
      <vt:lpstr>Parameter RL Tahun 2024</vt:lpstr>
      <vt:lpstr>Tingkat Kemiskinan Indonesia </vt:lpstr>
      <vt:lpstr>Indeks Kemiskinan</vt:lpstr>
      <vt:lpstr>Pengumpulan</vt:lpstr>
      <vt:lpstr>Realisasi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Febryo Fibonacci Amadeo</dc:creator>
  <cp:lastModifiedBy>Febryo Fibonacci Amadeo</cp:lastModifiedBy>
  <dcterms:created xsi:type="dcterms:W3CDTF">2026-05-04T04:21:39Z</dcterms:created>
  <dcterms:modified xsi:type="dcterms:W3CDTF">2026-08-03T04:40:49Z</dcterms:modified>
</cp:coreProperties>
</file>